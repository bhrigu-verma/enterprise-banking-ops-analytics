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Regional Loan Summary" sheetId="2" state="visible" r:id="rId2"/>
    <sheet xmlns:r="http://schemas.openxmlformats.org/officeDocument/2006/relationships" name="Fraud Risk Register" sheetId="3" state="visible" r:id="rId3"/>
    <sheet xmlns:r="http://schemas.openxmlformats.org/officeDocument/2006/relationships" name="Interactive Mini 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&quot;%&quot;"/>
    <numFmt numFmtId="166" formatCode="0.0"/>
  </numFmts>
  <fonts count="9">
    <font>
      <name val="Calibri"/>
      <family val="2"/>
      <color theme="1"/>
      <sz val="11"/>
      <scheme val="minor"/>
    </font>
    <font>
      <name val="Calibri"/>
      <b val="1"/>
      <color rgb="00D4AF37"/>
      <sz val="16"/>
    </font>
    <font>
      <b val="1"/>
      <color rgb="0064748B"/>
      <sz val="9"/>
    </font>
    <font>
      <b val="1"/>
      <color rgb="000B132B"/>
      <sz val="14"/>
    </font>
    <font>
      <name val="Calibri"/>
      <b val="1"/>
      <color rgb="00FFFFFF"/>
      <sz val="11"/>
    </font>
    <font>
      <name val="Calibri"/>
      <b val="1"/>
      <sz val="11"/>
    </font>
    <font>
      <b val="1"/>
      <color rgb="000B132B"/>
    </font>
    <font>
      <name val="Calibri"/>
      <sz val="11"/>
    </font>
    <font>
      <i val="1"/>
      <color rgb="0064748B"/>
      <sz val="9"/>
    </font>
  </fonts>
  <fills count="5">
    <fill>
      <patternFill/>
    </fill>
    <fill>
      <patternFill patternType="gray125"/>
    </fill>
    <fill>
      <patternFill patternType="solid">
        <fgColor rgb="000B132B"/>
        <bgColor rgb="000B132B"/>
      </patternFill>
    </fill>
    <fill>
      <patternFill patternType="solid">
        <fgColor rgb="001C2541"/>
        <bgColor rgb="001C2541"/>
      </patternFill>
    </fill>
    <fill>
      <patternFill patternType="solid">
        <fgColor rgb="00FEF08A"/>
        <bgColor rgb="00FEF0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0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2" fontId="0" fillId="0" borderId="1" pivotButton="0" quotePrefix="0" xfId="0"/>
    <xf numFmtId="164" fontId="0" fillId="0" borderId="1" pivotButton="0" quotePrefix="0" xfId="0"/>
    <xf numFmtId="0" fontId="1" fillId="0" borderId="0" pivotButton="0" quotePrefix="0" xfId="0"/>
    <xf numFmtId="0" fontId="4" fillId="3" borderId="0" pivotButton="0" quotePrefix="0" xfId="0"/>
    <xf numFmtId="166" fontId="0" fillId="0" borderId="1" pivotButton="0" quotePrefix="0" xfId="0"/>
    <xf numFmtId="0" fontId="5" fillId="0" borderId="0" pivotButton="0" quotePrefix="0" xfId="0"/>
    <xf numFmtId="0" fontId="6" fillId="4" borderId="0" pivotButton="0" quotePrefix="0" xfId="0"/>
    <xf numFmtId="0" fontId="5" fillId="0" borderId="1" pivotButton="0" quotePrefix="0" xfId="0"/>
    <xf numFmtId="164" fontId="7" fillId="0" borderId="1" pivotButton="0" quotePrefix="0" xfId="0"/>
    <xf numFmtId="0" fontId="8" fillId="0" borderId="1" pivotButton="0" quotePrefix="0" xfId="0"/>
    <xf numFmtId="165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41" customWidth="1" min="2" max="2"/>
    <col width="19" customWidth="1" min="3" max="3"/>
    <col width="41" customWidth="1" min="4" max="4"/>
    <col width="24" customWidth="1" min="5" max="5"/>
    <col width="41" customWidth="1" min="6" max="6"/>
    <col width="17" customWidth="1" min="7" max="7"/>
    <col width="39" customWidth="1" min="8" max="8"/>
  </cols>
  <sheetData>
    <row r="1" ht="40" customHeight="1">
      <c r="A1" s="1" t="inlineStr">
        <is>
          <t>AEGIS CREST FINANCIAL - EXECUTIVE OPERATIONS SCORECARD</t>
        </is>
      </c>
    </row>
    <row r="2"/>
    <row r="3">
      <c r="B3" s="2" t="inlineStr">
        <is>
          <t>Total Deposits</t>
        </is>
      </c>
      <c r="D3" s="2" t="inlineStr">
        <is>
          <t>Active Loan Volume</t>
        </is>
      </c>
      <c r="F3" s="2" t="inlineStr">
        <is>
          <t>Default Losses</t>
        </is>
      </c>
      <c r="H3" s="2" t="inlineStr">
        <is>
          <t>Confirmed Fraud Loss</t>
        </is>
      </c>
    </row>
    <row r="4">
      <c r="B4" s="3">
        <f>SUM('Regional Loan Summary'!C4:C8)</f>
        <v/>
      </c>
      <c r="D4" s="3">
        <f>SUM('Regional Loan Summary'!D4:D8)</f>
        <v/>
      </c>
      <c r="F4" s="3">
        <f>SUM('Regional Loan Summary'!F4:F8)</f>
        <v/>
      </c>
      <c r="H4" s="3">
        <f>SUM('Fraud Risk Register'!C4:C9)</f>
        <v/>
      </c>
    </row>
    <row r="5"/>
    <row r="6"/>
    <row r="7">
      <c r="A7" s="4" t="inlineStr">
        <is>
          <t>Region Name</t>
        </is>
      </c>
      <c r="B7" s="4" t="inlineStr">
        <is>
          <t>Director</t>
        </is>
      </c>
      <c r="C7" s="4" t="inlineStr">
        <is>
          <t>Active Customers</t>
        </is>
      </c>
      <c r="D7" s="4" t="inlineStr">
        <is>
          <t>FastTrack Pct</t>
        </is>
      </c>
      <c r="E7" s="4" t="inlineStr">
        <is>
          <t>Avg Turnaround (Days)</t>
        </is>
      </c>
      <c r="F7" s="4" t="inlineStr">
        <is>
          <t>Default Rate Pct</t>
        </is>
      </c>
      <c r="G7" s="4" t="inlineStr">
        <is>
          <t>Fraud Loss ($)</t>
        </is>
      </c>
    </row>
    <row r="8">
      <c r="A8" s="5" t="inlineStr">
        <is>
          <t>Midwest Central</t>
        </is>
      </c>
      <c r="B8" s="5" t="inlineStr">
        <is>
          <t>Sarah Jenkins</t>
        </is>
      </c>
      <c r="C8" s="6" t="n">
        <v>6978</v>
      </c>
      <c r="D8" s="7" t="n">
        <v>9.07</v>
      </c>
      <c r="E8" s="8" t="n">
        <v>2.25</v>
      </c>
      <c r="F8" s="7" t="n">
        <v>3.14</v>
      </c>
      <c r="G8" s="9" t="n">
        <v>589950.9300000001</v>
      </c>
    </row>
    <row r="9">
      <c r="A9" s="5" t="inlineStr">
        <is>
          <t>Midwest West</t>
        </is>
      </c>
      <c r="B9" s="5" t="inlineStr">
        <is>
          <t>Patricia Morales</t>
        </is>
      </c>
      <c r="C9" s="6" t="n">
        <v>6996</v>
      </c>
      <c r="D9" s="7" t="n">
        <v>20.4</v>
      </c>
      <c r="E9" s="8" t="n">
        <v>2.45</v>
      </c>
      <c r="F9" s="7" t="n">
        <v>9.550000000000001</v>
      </c>
      <c r="G9" s="9" t="n">
        <v>756020.8199999999</v>
      </c>
    </row>
    <row r="10">
      <c r="A10" s="5" t="inlineStr">
        <is>
          <t>Northeast Corridor</t>
        </is>
      </c>
      <c r="B10" s="5" t="inlineStr">
        <is>
          <t>Eleanor Vance</t>
        </is>
      </c>
      <c r="C10" s="6" t="n">
        <v>7019</v>
      </c>
      <c r="D10" s="7" t="n">
        <v>9</v>
      </c>
      <c r="E10" s="8" t="n">
        <v>2.24</v>
      </c>
      <c r="F10" s="7" t="n">
        <v>2.86</v>
      </c>
      <c r="G10" s="9" t="n">
        <v>526517.47</v>
      </c>
    </row>
    <row r="11">
      <c r="A11" s="5" t="inlineStr">
        <is>
          <t>Southeast Hub</t>
        </is>
      </c>
      <c r="B11" s="5" t="inlineStr">
        <is>
          <t>Marcus Thorne</t>
        </is>
      </c>
      <c r="C11" s="6" t="n">
        <v>7063</v>
      </c>
      <c r="D11" s="7" t="n">
        <v>20.88</v>
      </c>
      <c r="E11" s="8" t="n">
        <v>2.45</v>
      </c>
      <c r="F11" s="7" t="n">
        <v>11.52</v>
      </c>
      <c r="G11" s="9" t="n">
        <v>867488.11</v>
      </c>
    </row>
    <row r="12">
      <c r="A12" s="5" t="inlineStr">
        <is>
          <t>West Coast Metro</t>
        </is>
      </c>
      <c r="B12" s="5" t="inlineStr">
        <is>
          <t>David Sterling</t>
        </is>
      </c>
      <c r="C12" s="6" t="n">
        <v>7032</v>
      </c>
      <c r="D12" s="7" t="n">
        <v>8.82</v>
      </c>
      <c r="E12" s="8" t="n">
        <v>2.25</v>
      </c>
      <c r="F12" s="7" t="n">
        <v>3.09</v>
      </c>
      <c r="G12" s="9" t="n">
        <v>467612.65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21" customWidth="1" min="2" max="2"/>
    <col width="21" customWidth="1" min="3" max="3"/>
    <col width="21" customWidth="1" min="4" max="4"/>
    <col width="18" customWidth="1" min="5" max="5"/>
    <col width="19" customWidth="1" min="6" max="6"/>
    <col width="19" customWidth="1" min="7" max="7"/>
  </cols>
  <sheetData>
    <row r="1">
      <c r="A1" s="10" t="inlineStr">
        <is>
          <t>REGIONAL LOAN PORTFOLIO &amp; CREDIT RISK AUDIT</t>
        </is>
      </c>
    </row>
    <row r="2"/>
    <row r="3">
      <c r="A3" s="11" t="inlineStr">
        <is>
          <t>Region ID</t>
        </is>
      </c>
      <c r="B3" s="11" t="inlineStr">
        <is>
          <t>Region Name</t>
        </is>
      </c>
      <c r="C3" s="11" t="inlineStr">
        <is>
          <t>Total Deposits ($)</t>
        </is>
      </c>
      <c r="D3" s="11" t="inlineStr">
        <is>
          <t>Loan Principal ($)</t>
        </is>
      </c>
      <c r="E3" s="11" t="inlineStr">
        <is>
          <t>Defaulted Loans</t>
        </is>
      </c>
      <c r="F3" s="11" t="inlineStr">
        <is>
          <t>Default Loss ($)</t>
        </is>
      </c>
      <c r="G3" s="11" t="inlineStr">
        <is>
          <t>Default Rate (%)</t>
        </is>
      </c>
    </row>
    <row r="4">
      <c r="A4" s="5" t="n">
        <v>3</v>
      </c>
      <c r="B4" s="5" t="inlineStr">
        <is>
          <t>Midwest Central</t>
        </is>
      </c>
      <c r="C4" s="9" t="n">
        <v>34789795</v>
      </c>
      <c r="D4" s="9" t="n">
        <v>88261663.33</v>
      </c>
      <c r="E4" s="6" t="n">
        <v>132</v>
      </c>
      <c r="F4" s="9" t="n">
        <v>2963667.46</v>
      </c>
      <c r="G4" s="7" t="n">
        <v>3.14</v>
      </c>
    </row>
    <row r="5">
      <c r="A5" s="5" t="n">
        <v>5</v>
      </c>
      <c r="B5" s="5" t="inlineStr">
        <is>
          <t>Midwest West</t>
        </is>
      </c>
      <c r="C5" s="9" t="n">
        <v>32446188.46</v>
      </c>
      <c r="D5" s="9" t="n">
        <v>81863010</v>
      </c>
      <c r="E5" s="6" t="n">
        <v>402</v>
      </c>
      <c r="F5" s="9" t="n">
        <v>7248393.83</v>
      </c>
      <c r="G5" s="7" t="n">
        <v>9.550000000000001</v>
      </c>
    </row>
    <row r="6">
      <c r="A6" s="5" t="n">
        <v>1</v>
      </c>
      <c r="B6" s="5" t="inlineStr">
        <is>
          <t>Northeast Corridor</t>
        </is>
      </c>
      <c r="C6" s="9" t="n">
        <v>35250702.05</v>
      </c>
      <c r="D6" s="9" t="n">
        <v>85569954.62</v>
      </c>
      <c r="E6" s="6" t="n">
        <v>121</v>
      </c>
      <c r="F6" s="9" t="n">
        <v>2316046.92</v>
      </c>
      <c r="G6" s="7" t="n">
        <v>2.86</v>
      </c>
    </row>
    <row r="7">
      <c r="A7" s="5" t="n">
        <v>2</v>
      </c>
      <c r="B7" s="5" t="inlineStr">
        <is>
          <t>Southeast Hub</t>
        </is>
      </c>
      <c r="C7" s="9" t="n">
        <v>30963406.92</v>
      </c>
      <c r="D7" s="9" t="n">
        <v>84565533.81</v>
      </c>
      <c r="E7" s="6" t="n">
        <v>488</v>
      </c>
      <c r="F7" s="9" t="n">
        <v>9386138.34</v>
      </c>
      <c r="G7" s="7" t="n">
        <v>11.52</v>
      </c>
    </row>
    <row r="8">
      <c r="A8" s="5" t="n">
        <v>4</v>
      </c>
      <c r="B8" s="5" t="inlineStr">
        <is>
          <t>West Coast Metro</t>
        </is>
      </c>
      <c r="C8" s="9" t="n">
        <v>34658607.73</v>
      </c>
      <c r="D8" s="9" t="n">
        <v>84235424.12</v>
      </c>
      <c r="E8" s="6" t="n">
        <v>130</v>
      </c>
      <c r="F8" s="9" t="n">
        <v>2601621.45</v>
      </c>
      <c r="G8" s="7" t="n">
        <v>3.09</v>
      </c>
    </row>
  </sheetData>
  <conditionalFormatting sqref="G4:G8">
    <cfRule type="colorScale" priority="1">
      <colorScale>
        <cfvo type="num" val="3"/>
        <cfvo type="num" val="6"/>
        <cfvo type="num" val="9"/>
        <color rgb="00D1FAE5"/>
        <color rgb="00FEF3C7"/>
        <color rgb="00FEE2E2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24" customWidth="1" min="2" max="2"/>
    <col width="17" customWidth="1" min="3" max="3"/>
    <col width="15" customWidth="1" min="4" max="4"/>
    <col width="17" customWidth="1" min="5" max="5"/>
  </cols>
  <sheetData>
    <row r="1">
      <c r="A1" s="10" t="inlineStr">
        <is>
          <t>CONFIRMED FRAUD LOSS &amp; RISK REGISTER</t>
        </is>
      </c>
    </row>
    <row r="2"/>
    <row r="3">
      <c r="A3" s="11" t="inlineStr">
        <is>
          <t>Fraud Type</t>
        </is>
      </c>
      <c r="B3" s="11" t="inlineStr">
        <is>
          <t>Confirmed Alert Count</t>
        </is>
      </c>
      <c r="C3" s="11" t="inlineStr">
        <is>
          <t>Total Loss ($)</t>
        </is>
      </c>
      <c r="D3" s="11" t="inlineStr">
        <is>
          <t>Avg Loss ($)</t>
        </is>
      </c>
      <c r="E3" s="11" t="inlineStr">
        <is>
          <t>Avg Risk Score</t>
        </is>
      </c>
    </row>
    <row r="4">
      <c r="A4" s="5" t="inlineStr">
        <is>
          <t>Card Not Present</t>
        </is>
      </c>
      <c r="B4" s="6" t="n">
        <v>691</v>
      </c>
      <c r="C4" s="9" t="n">
        <v>695393.04</v>
      </c>
      <c r="D4" s="9" t="n">
        <v>1006.36</v>
      </c>
      <c r="E4" s="12" t="n">
        <v>65.09999999999999</v>
      </c>
    </row>
    <row r="5">
      <c r="A5" s="5" t="inlineStr">
        <is>
          <t>Identity Theft</t>
        </is>
      </c>
      <c r="B5" s="6" t="n">
        <v>707</v>
      </c>
      <c r="C5" s="9" t="n">
        <v>663021.1800000001</v>
      </c>
      <c r="D5" s="9" t="n">
        <v>937.8</v>
      </c>
      <c r="E5" s="12" t="n">
        <v>65</v>
      </c>
    </row>
    <row r="6">
      <c r="A6" s="5" t="inlineStr">
        <is>
          <t>Synthetic ID</t>
        </is>
      </c>
      <c r="B6" s="6" t="n">
        <v>671</v>
      </c>
      <c r="C6" s="9" t="n">
        <v>508747.22</v>
      </c>
      <c r="D6" s="9" t="n">
        <v>758.1900000000001</v>
      </c>
      <c r="E6" s="12" t="n">
        <v>63</v>
      </c>
    </row>
    <row r="7">
      <c r="A7" s="5" t="inlineStr">
        <is>
          <t>Account Takeover</t>
        </is>
      </c>
      <c r="B7" s="6" t="n">
        <v>607</v>
      </c>
      <c r="C7" s="9" t="n">
        <v>501186.27</v>
      </c>
      <c r="D7" s="9" t="n">
        <v>825.6799999999999</v>
      </c>
      <c r="E7" s="12" t="n">
        <v>63.2</v>
      </c>
    </row>
    <row r="8">
      <c r="A8" s="5" t="inlineStr">
        <is>
          <t>Velocity Spike</t>
        </is>
      </c>
      <c r="B8" s="6" t="n">
        <v>638</v>
      </c>
      <c r="C8" s="9" t="n">
        <v>432506.23</v>
      </c>
      <c r="D8" s="9" t="n">
        <v>677.91</v>
      </c>
      <c r="E8" s="12" t="n">
        <v>63</v>
      </c>
    </row>
    <row r="9">
      <c r="A9" s="5" t="inlineStr">
        <is>
          <t>Wire Fraud</t>
        </is>
      </c>
      <c r="B9" s="6" t="n">
        <v>604</v>
      </c>
      <c r="C9" s="9" t="n">
        <v>406736.04</v>
      </c>
      <c r="D9" s="9" t="n">
        <v>673.4</v>
      </c>
      <c r="E9" s="12" t="n">
        <v>62.4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80" customWidth="1" min="2" max="2"/>
    <col width="37" customWidth="1" min="3" max="3"/>
  </cols>
  <sheetData>
    <row r="1">
      <c r="A1" s="10" t="inlineStr">
        <is>
          <t>INTERACTIVE REGIONAL OPERATIONS ANALYTICS LOOKUP</t>
        </is>
      </c>
    </row>
    <row r="2"/>
    <row r="3">
      <c r="A3" s="13" t="inlineStr">
        <is>
          <t>Select Region Name:</t>
        </is>
      </c>
      <c r="B3" s="14" t="inlineStr">
        <is>
          <t>Southeast Hub</t>
        </is>
      </c>
    </row>
    <row r="4"/>
    <row r="5">
      <c r="A5" s="11" t="inlineStr">
        <is>
          <t>Operational Metric</t>
        </is>
      </c>
      <c r="B5" s="11" t="inlineStr">
        <is>
          <t>Regional Value</t>
        </is>
      </c>
      <c r="C5" s="11" t="inlineStr">
        <is>
          <t>Calculation Formula / Reference</t>
        </is>
      </c>
    </row>
    <row r="6">
      <c r="A6" s="15" t="inlineStr">
        <is>
          <t>Total Active Deposits ($)</t>
        </is>
      </c>
      <c r="B6" s="16">
        <f>XLOOKUP(B3, 'Regional Loan Summary'!B4:B8, 'Regional Loan Summary'!C4:C8)</f>
        <v/>
      </c>
      <c r="C6" s="17" t="inlineStr">
        <is>
          <t>XLOOKUP against B3 region selector</t>
        </is>
      </c>
    </row>
    <row r="7">
      <c r="A7" s="15" t="inlineStr">
        <is>
          <t>Total Loan Principal ($)</t>
        </is>
      </c>
      <c r="B7" s="16">
        <f>XLOOKUP(B3, 'Regional Loan Summary'!B4:B8, 'Regional Loan Summary'!D4:D8)</f>
        <v/>
      </c>
      <c r="C7" s="17" t="inlineStr">
        <is>
          <t>XLOOKUP against B3 region selector</t>
        </is>
      </c>
    </row>
    <row r="8">
      <c r="A8" s="15" t="inlineStr">
        <is>
          <t>Defaulted Principal Loss ($)</t>
        </is>
      </c>
      <c r="B8" s="16">
        <f>XLOOKUP(B3, 'Regional Loan Summary'!B4:B8, 'Regional Loan Summary'!F4:F8)</f>
        <v/>
      </c>
      <c r="C8" s="17" t="inlineStr">
        <is>
          <t>XLOOKUP against B3 region selector</t>
        </is>
      </c>
    </row>
    <row r="9">
      <c r="A9" s="15" t="inlineStr">
        <is>
          <t>Loan Default Rate (%)</t>
        </is>
      </c>
      <c r="B9" s="18">
        <f>XLOOKUP(B3, 'Regional Loan Summary'!B4:B8, 'Regional Loan Summary'!G4:G8)</f>
        <v/>
      </c>
      <c r="C9" s="17" t="inlineStr">
        <is>
          <t>XLOOKUP against B3 region selector</t>
        </is>
      </c>
    </row>
    <row r="10">
      <c r="A10" s="15" t="inlineStr">
        <is>
          <t>Confirmed Fraud Losses ($)</t>
        </is>
      </c>
      <c r="B10" s="16">
        <f>XLOOKUP(B3, 'Executive Summary'!A8:A12, 'Executive Summary'!G8:G12)</f>
        <v/>
      </c>
      <c r="C10" s="17" t="inlineStr">
        <is>
          <t>XLOOKUP against B3 region selector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2026-08-08T10:50:05Z</dcterms:created>
  <dcterms:modified xmlns:dcterms="http://purl.org/dc/terms/" xmlns:xsi="http://www.w3.org/2001/XMLSchema-instance" xsi:type="dcterms:W3CDTF">2026-08-08T10:50:05Z</dcterms:modified>
</cp:coreProperties>
</file>